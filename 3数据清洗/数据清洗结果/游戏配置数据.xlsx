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974\Desktop\"/>
    </mc:Choice>
  </mc:AlternateContent>
  <xr:revisionPtr revIDLastSave="0" documentId="13_ncr:1_{373D9721-23FB-476F-9392-96FB9C43B642}" xr6:coauthVersionLast="47" xr6:coauthVersionMax="47" xr10:uidLastSave="{00000000-0000-0000-0000-000000000000}"/>
  <bookViews>
    <workbookView xWindow="-120" yWindow="-120" windowWidth="29040" windowHeight="15720" xr2:uid="{AA5E90EE-C228-44BA-B9F4-C089F90A6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7" i="1" l="1"/>
  <c r="I66" i="1"/>
  <c r="I65" i="1"/>
  <c r="I64" i="1"/>
  <c r="I63" i="1"/>
  <c r="I62" i="1"/>
  <c r="I61" i="1"/>
  <c r="I60" i="1"/>
  <c r="I59" i="1"/>
  <c r="I58" i="1"/>
  <c r="I55" i="1"/>
  <c r="I54" i="1"/>
  <c r="I53" i="1"/>
  <c r="I52" i="1"/>
  <c r="I51" i="1"/>
  <c r="I50" i="1"/>
  <c r="I49" i="1"/>
  <c r="I48" i="1"/>
  <c r="I47" i="1"/>
  <c r="I46" i="1"/>
  <c r="I43" i="1"/>
  <c r="I42" i="1"/>
  <c r="I40" i="1"/>
  <c r="I39" i="1"/>
  <c r="I38" i="1"/>
  <c r="I41" i="1"/>
  <c r="I37" i="1"/>
  <c r="I36" i="1"/>
  <c r="I35" i="1"/>
  <c r="I34" i="1"/>
  <c r="I31" i="1"/>
  <c r="I30" i="1"/>
  <c r="I29" i="1"/>
  <c r="I28" i="1"/>
  <c r="I27" i="1"/>
  <c r="I26" i="1"/>
  <c r="I25" i="1"/>
  <c r="I24" i="1"/>
  <c r="I16" i="1"/>
  <c r="I17" i="1"/>
  <c r="I18" i="1"/>
  <c r="I20" i="1"/>
  <c r="I19" i="1"/>
  <c r="I21" i="1"/>
  <c r="I15" i="1"/>
  <c r="I14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<sst xmlns="http://schemas.openxmlformats.org/spreadsheetml/2006/main" count="280" uniqueCount="152">
  <si>
    <t>显卡</t>
    <phoneticPr fontId="1" type="noConversion"/>
  </si>
  <si>
    <t>CPU</t>
    <phoneticPr fontId="1" type="noConversion"/>
  </si>
  <si>
    <t>内存</t>
    <phoneticPr fontId="1" type="noConversion"/>
  </si>
  <si>
    <t>推荐</t>
    <phoneticPr fontId="1" type="noConversion"/>
  </si>
  <si>
    <t>最低</t>
    <phoneticPr fontId="1" type="noConversion"/>
  </si>
  <si>
    <t>配置</t>
    <phoneticPr fontId="1" type="noConversion"/>
  </si>
  <si>
    <t>Intel Core i7-8700K / AMD Ryzen 5 1600X</t>
    <phoneticPr fontId="1" type="noConversion"/>
  </si>
  <si>
    <t>光与影：33号远征队</t>
    <phoneticPr fontId="1" type="noConversion"/>
  </si>
  <si>
    <t>8 GB RAM</t>
    <phoneticPr fontId="1" type="noConversion"/>
  </si>
  <si>
    <t>Intel Core i7-12700K / AMD Ryzen 7 5800X</t>
    <phoneticPr fontId="1" type="noConversion"/>
  </si>
  <si>
    <t>NVIDIA GeForce RTX 3060 Ti 8 GB / AMD Radeon RX 6800 XT 16 GB</t>
    <phoneticPr fontId="1" type="noConversion"/>
  </si>
  <si>
    <t>16 GB RAM</t>
  </si>
  <si>
    <t>16 GB RAM</t>
    <phoneticPr fontId="1" type="noConversion"/>
  </si>
  <si>
    <t>死亡搁浅2：冥滩之上</t>
    <phoneticPr fontId="1" type="noConversion"/>
  </si>
  <si>
    <t>lntel Core i7-3770或AMD Ryzen 5 1600</t>
    <phoneticPr fontId="1" type="noConversion"/>
  </si>
  <si>
    <t>Intel Core i5-3470或AMD Ryzen 3 1200</t>
    <phoneticPr fontId="1" type="noConversion"/>
  </si>
  <si>
    <t>NVIDIA GeForce GTX 1050 3GB或AMD Radeon RX 560 4GB</t>
    <phoneticPr fontId="1" type="noConversion"/>
  </si>
  <si>
    <t>NVIDIA GeForce GTX 10606GB或AMD Radeon RX 590</t>
    <phoneticPr fontId="1" type="noConversion"/>
  </si>
  <si>
    <t>Dual Core 2.4 GHz</t>
    <phoneticPr fontId="1" type="noConversion"/>
  </si>
  <si>
    <t>GeForce GTX 950, Radeon R7 360, or Intel HD Graphics 630</t>
    <phoneticPr fontId="1" type="noConversion"/>
  </si>
  <si>
    <t>GeForce RTX 2060, Radeon RX 5600 XT, or Intel Arc A580</t>
    <phoneticPr fontId="1" type="noConversion"/>
  </si>
  <si>
    <t>Quad Core 2.4ghz</t>
    <phoneticPr fontId="1" type="noConversion"/>
  </si>
  <si>
    <t>Hades II</t>
    <phoneticPr fontId="1" type="noConversion"/>
  </si>
  <si>
    <t>空洞骑士：丝之歌</t>
    <phoneticPr fontId="1" type="noConversion"/>
  </si>
  <si>
    <t>Intel Core i5-3470</t>
  </si>
  <si>
    <t>Intel Core i3-3240, AMD FX-4300</t>
    <phoneticPr fontId="1" type="noConversion"/>
  </si>
  <si>
    <t>4 GB RAM</t>
    <phoneticPr fontId="1" type="noConversion"/>
  </si>
  <si>
    <t>GeForce GTX 1050 (2GB), Radeon R9 380 (2GB)</t>
  </si>
  <si>
    <t>GeForce GTX 560 Ti (1GB), Radeon HD 7750 (1GB)</t>
    <phoneticPr fontId="1" type="noConversion"/>
  </si>
  <si>
    <t>天国：拯救2</t>
    <phoneticPr fontId="1" type="noConversion"/>
  </si>
  <si>
    <t xml:space="preserve"> NVIDIA GeForce GTX 1060 (6GB), AMD Radeon RX 580</t>
    <phoneticPr fontId="1" type="noConversion"/>
  </si>
  <si>
    <t xml:space="preserve"> NVIDIA GeForce RTX 4070, AMD Radeon RX 7800 XT</t>
    <phoneticPr fontId="1" type="noConversion"/>
  </si>
  <si>
    <t>32 GB RAM</t>
    <phoneticPr fontId="1" type="noConversion"/>
  </si>
  <si>
    <t>NVIDIA GeForce GTX 1060 6 GB / AMD Radeon RX 5600 XT 6 GB / Intel Arc A380 6 GB</t>
    <phoneticPr fontId="1" type="noConversion"/>
  </si>
  <si>
    <t>Intel Core i7-13700K, AMD Ryzen 7</t>
    <phoneticPr fontId="1" type="noConversion"/>
  </si>
  <si>
    <t>Intel Core i5-8400, AMD Ryzen 5 2600</t>
    <phoneticPr fontId="1" type="noConversion"/>
  </si>
  <si>
    <t>Balatro</t>
  </si>
  <si>
    <t>Intel Core i3</t>
  </si>
  <si>
    <t>OpenGL 2.1 compatible graphics card, integrated graphics</t>
    <phoneticPr fontId="1" type="noConversion"/>
  </si>
  <si>
    <t>1 GB RAM</t>
  </si>
  <si>
    <t>None</t>
    <phoneticPr fontId="1" type="noConversion"/>
  </si>
  <si>
    <t>黑神话：悟空</t>
  </si>
  <si>
    <t>Intel Core i5-8400 / AMD Ryzen 5 1600</t>
  </si>
  <si>
    <t>NVIDIA GeForce GTX 1060 6GB / AMD Radeon RX 580 8GB</t>
    <phoneticPr fontId="1" type="noConversion"/>
  </si>
  <si>
    <t>Intel Core i7-9700 / AMD Ryzen 5 5500</t>
  </si>
  <si>
    <t>NVIDIA GeForce RTX 2060 / AMD Radeon RX 5700 XT / INTEL Arc A750</t>
    <phoneticPr fontId="1" type="noConversion"/>
  </si>
  <si>
    <t>艾尔登法环 黄金树幽影</t>
    <phoneticPr fontId="1" type="noConversion"/>
  </si>
  <si>
    <t>12 GB RAM</t>
    <phoneticPr fontId="1" type="noConversion"/>
  </si>
  <si>
    <t>NVIDIA GEFORCE GTX 1060 3 GB or AMD RADEON RX 580 4 GB</t>
  </si>
  <si>
    <t>INTEL CORE I5-8400 or AMD RYZEN 3 3300X</t>
  </si>
  <si>
    <t xml:space="preserve"> INTEL CORE I7-8700K or AMD RYZEN 5 3600X</t>
  </si>
  <si>
    <t>NVIDIA GEFORCE GTX 1070 8 GB or AMD RADEON RX VEGA 56 8 GB</t>
  </si>
  <si>
    <t>NVIDIA GEFORCE GTX 1070 8 GB or AMD RADEON RX VEGA 56 8 GB</t>
    <phoneticPr fontId="1" type="noConversion"/>
  </si>
  <si>
    <t>暗喻幻想：ReFantazio</t>
  </si>
  <si>
    <t xml:space="preserve"> Intel Core i5-3470 or AMD FX-6300</t>
  </si>
  <si>
    <t>Intel Core i5-7600 or Ryzen 5 2600</t>
  </si>
  <si>
    <t>NVIDIA GeForce GTX 750 Ti, 4GB or AMD Radeon R7 360, 4GB or Intel Arc A310, 4GB</t>
  </si>
  <si>
    <t>NVIDIA GeForce GTX 970, 4GB or AMD Radeon RX 480, 4GB or Intel Arc A380, 6GB</t>
    <phoneticPr fontId="1" type="noConversion"/>
  </si>
  <si>
    <t>6 GB RAM</t>
    <phoneticPr fontId="1" type="noConversion"/>
  </si>
  <si>
    <t>博德之门3</t>
  </si>
  <si>
    <t>Intel I5 4690 / AMD FX 8350 / Snapdragon X Elite</t>
  </si>
  <si>
    <t>Intel i7 8700K / AMD r5 3600</t>
  </si>
  <si>
    <t>Nvidia GTX 970 / RX 480 / Intel Arc A380 / Qualcomm Adreno X1 (4GB+ of VRAM)</t>
    <phoneticPr fontId="1" type="noConversion"/>
  </si>
  <si>
    <t>Nvidia 2060 Super / RX 5700 XT / Intel Arc A580 (8GB+ of VRAM)</t>
    <phoneticPr fontId="1" type="noConversion"/>
  </si>
  <si>
    <t>Marvel's Spider-Man 2</t>
  </si>
  <si>
    <t>Intel Core i3-8100 or AMD Ryzen 3 3100</t>
  </si>
  <si>
    <t>Intel Core i5-8400 or AMD Ryzen 5 3600</t>
  </si>
  <si>
    <t>NVIDIA GeForce GTX 1650 or AMD Radeon RX 5500 XT</t>
  </si>
  <si>
    <t>NVIDIA GeForce RTX 3060 or AMD Radeon RX 5700</t>
  </si>
  <si>
    <t>Resident Evil 4</t>
  </si>
  <si>
    <t xml:space="preserve"> AMD Radeon RX 560 with 4GB VRAM / NVIDIA GeForce GTX 1050 Ti with 4GB VRAM</t>
  </si>
  <si>
    <t>AMD Radeon RX 5700 / NVIDIA GeForce GTX 1070</t>
  </si>
  <si>
    <t xml:space="preserve"> AMD Ryzen 3 1200 / Intel Core i5-7500</t>
  </si>
  <si>
    <t>AMD Ryzen 5 3600 / Intel Core i7 8700</t>
  </si>
  <si>
    <t>Intel i5-7600K</t>
  </si>
  <si>
    <t>alan wake 2</t>
    <phoneticPr fontId="1" type="noConversion"/>
  </si>
  <si>
    <t>GeForce RTX 2060/Radeon RX 6600</t>
  </si>
  <si>
    <t>Ryzen 7 3700X</t>
  </si>
  <si>
    <t>GeForce RTX 3060/Radeon RX 6600 XT</t>
  </si>
  <si>
    <t>艾尔登法环</t>
  </si>
  <si>
    <t>A Plague Tale: Requiem</t>
  </si>
  <si>
    <t>Intel Core i5-4690K (3.5 GHz)/AMD FX-8300 (3.3 GHz)</t>
  </si>
  <si>
    <t>Intel Core i7-8700K (3.7 GHz) / AMD Ryzen 5 3600 (3.6 GHz)</t>
  </si>
  <si>
    <t>GeForce GTX 970/Radeon RX 590</t>
  </si>
  <si>
    <t>GeForce RTX 3070/Radeon RX 6800 XT</t>
  </si>
  <si>
    <t>God of War Ragnarök</t>
  </si>
  <si>
    <t>Intel i5-4670k or AMD Ryzen 3 1200</t>
  </si>
  <si>
    <t>Intel i5-8600 or AMD Ryzen 5 3600</t>
  </si>
  <si>
    <t>NVIDIA GTX 1060 (6GB) or AMD RX 5500 XT (8GB) or Intel Arc A750</t>
  </si>
  <si>
    <t>NVIDIA RTX 2060 Super or AMD RX 5700 or Intel Arc A770</t>
  </si>
  <si>
    <t>Horizon Forbidden West</t>
  </si>
  <si>
    <t>Intel Core i3-8100 or AMD Ryzen 3 1300X</t>
  </si>
  <si>
    <t>Intel Core i5-8600 or AMD Ryzen 5 3600</t>
  </si>
  <si>
    <t>NVIDIA GeForce GTX 1650 4GB or AMD Radeon RX 5500XT 4GB</t>
  </si>
  <si>
    <t>Stray</t>
    <phoneticPr fontId="1" type="noConversion"/>
  </si>
  <si>
    <t>Intel Core i5-2300 | AMD FX-6350</t>
  </si>
  <si>
    <t>Intel Core i5-8400 | AMD Ryzen 5 2600</t>
    <phoneticPr fontId="1" type="noConversion"/>
  </si>
  <si>
    <t>NVIDIA GeForce GTX 650 Ti, 2 GB | AMD Radeon R7 360, 2 GB</t>
  </si>
  <si>
    <t>NVIDIA GeForce GTX 780, 3 GB | AMD Radeon R9 290X, 4 GB</t>
    <phoneticPr fontId="1" type="noConversion"/>
  </si>
  <si>
    <t>DEATHLOOP</t>
  </si>
  <si>
    <t xml:space="preserve"> Intel Core i5-8400 @ 2.80GHz or AMD Ryzen 5 1600</t>
  </si>
  <si>
    <t>Intel Core i7-9700K @ 3.60GHz or AMD Ryzen 7 2700X</t>
  </si>
  <si>
    <t>Nvidia GTX 1060 (6GB) or AMD Radeon RX 580 (8GB)</t>
  </si>
  <si>
    <t>Nvidia RTX 2060 (6GB) or AMD Radeon RX 5700 (8GB)</t>
  </si>
  <si>
    <t>双人成行</t>
    <phoneticPr fontId="1" type="noConversion"/>
  </si>
  <si>
    <t>Intel Core i3-2100T or AMD FX 6100</t>
  </si>
  <si>
    <t>Intel Core i5 3570K or AMD Ryzen 3 1300x</t>
  </si>
  <si>
    <t>Nvidia GeForce GTX 660 or AMD R7 260x</t>
  </si>
  <si>
    <t>Nvidia GeForce GTX 980 or AMD R9 290X</t>
  </si>
  <si>
    <t>Psychonauts 2</t>
  </si>
  <si>
    <t>Intel Core i3-3225, AMD Phenom II X6 1100T</t>
  </si>
  <si>
    <t>Intel Core i7-7700K, Ryzen 5 1600</t>
  </si>
  <si>
    <t>Nvidia GeForce GTX 1050, AMD Radeon RX 560</t>
  </si>
  <si>
    <t>Nvidia GeForce GTX 1060, AMD Radeon RX 580</t>
  </si>
  <si>
    <t>瑞奇与叮当 时空跳转</t>
  </si>
  <si>
    <t xml:space="preserve"> Intel Core i3-8100 or AMD Ryzen 3 3100</t>
  </si>
  <si>
    <t xml:space="preserve"> Intel Core i5-8400 or AMD Ryzen 5 3600</t>
  </si>
  <si>
    <t>NVIDIA GeForce GTX 960 or AMD Radeon RX 470</t>
  </si>
  <si>
    <t>NVIDIA GeForce RTX 2060 or AMD Radeon RX 5700</t>
  </si>
  <si>
    <t>Resident Evil Village</t>
  </si>
  <si>
    <t>AMD Ryzen 3 1200 ／ Intel Core i5-7500</t>
  </si>
  <si>
    <t>AMD Ryzen 5 3600 ／ Intel Core i7 8700</t>
  </si>
  <si>
    <t>AMD Radeon RX 560 with 4GB VRAM ／ NVIDIA GeForce GTX 1050 Ti with 4GB VRAM</t>
  </si>
  <si>
    <t>AMD Radeon RX 5700 ／ NVIDIA GeForce GTX 1070</t>
  </si>
  <si>
    <t>Intel Core i7-6700K 或 AMD Ryzen 7 1800X</t>
  </si>
  <si>
    <t>毁灭战士：永恒</t>
    <phoneticPr fontId="1" type="noConversion"/>
  </si>
  <si>
    <r>
      <t xml:space="preserve">NVIDIA GeForce GTX 1080 (8GB)、NVIDIA GeForce RTX 2060 (8GB) 或 AMD Radeon RX Vega 56 (8GB) </t>
    </r>
    <r>
      <rPr>
        <sz val="11"/>
        <color theme="1"/>
        <rFont val="MS Gothic"/>
        <family val="3"/>
        <charset val="128"/>
      </rPr>
      <t>‌</t>
    </r>
    <phoneticPr fontId="1" type="noConversion"/>
  </si>
  <si>
    <t>Intel Core i5 @ 3.3 GHz 或 AMD Ryzen 3 @ 3.1 GHz</t>
  </si>
  <si>
    <t>NVIDIA GeForce GTX 970 (4GB)、GTX 1060 (6GB)、GTX 1650 (4GB) 或 AMD Radeon R9 290 (4GB) / RX 470 (4GB)</t>
  </si>
  <si>
    <t>AMD FX-8350 / Intel Core i5-3330</t>
    <phoneticPr fontId="1" type="noConversion"/>
  </si>
  <si>
    <t>AMD Ryzen 3 3100 / Intel Core i7-3770</t>
    <phoneticPr fontId="1" type="noConversion"/>
  </si>
  <si>
    <t>AMD Radeon RX 480 / NVIDIA GeForce GTX 780 / 3GB VRAM required</t>
    <phoneticPr fontId="1" type="noConversion"/>
  </si>
  <si>
    <t>AMD Radeon RX 5700 / NVIDIA GeForce GTX 1080 / 8GB VRAM required</t>
    <phoneticPr fontId="1" type="noConversion"/>
  </si>
  <si>
    <t>Intel Core i3-7100 or AMD Ryzen 3 1200</t>
  </si>
  <si>
    <t>Ghost of Tsushima</t>
  </si>
  <si>
    <t>NVIDIA GeForce GTX 960 or AMD Radeon RX 5500 XT</t>
  </si>
  <si>
    <t>NVIDIA GeForce RTX 2060 or AMD Radeon RX 5600 XT</t>
    <phoneticPr fontId="1" type="noConversion"/>
  </si>
  <si>
    <t>Hades</t>
  </si>
  <si>
    <t xml:space="preserve"> Dual Core 2.4 GHz</t>
  </si>
  <si>
    <t>Dual Core 3.0 GHz+</t>
  </si>
  <si>
    <t xml:space="preserve"> 1GB VRAM / DirectX 10+ support</t>
  </si>
  <si>
    <t>2GB VRAM / DirectX 10+ support</t>
    <phoneticPr fontId="1" type="noConversion"/>
  </si>
  <si>
    <t>Intel Core i3-8100, AMD Ryzen 3 1300X</t>
  </si>
  <si>
    <t xml:space="preserve"> Intel Core i5-8600, AMD Ryzen 5 3600</t>
  </si>
  <si>
    <t>The Last of Us Part II</t>
    <phoneticPr fontId="1" type="noConversion"/>
  </si>
  <si>
    <t>NVIDIA GeForce GTX 1650, AMD Radeon RX 5500XT</t>
  </si>
  <si>
    <t>NVIDIA GeForce RTX 3060, AMD Radeon RX 5700</t>
  </si>
  <si>
    <t>显卡性能分</t>
    <phoneticPr fontId="1" type="noConversion"/>
  </si>
  <si>
    <t>CPU性能分</t>
    <phoneticPr fontId="1" type="noConversion"/>
  </si>
  <si>
    <t>内存性能分</t>
    <phoneticPr fontId="1" type="noConversion"/>
  </si>
  <si>
    <t>FINAL FANTASY VII REMAKE INTERGRADE</t>
    <phoneticPr fontId="1" type="noConversion"/>
  </si>
  <si>
    <t>综合性能分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</si>
</sst>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666666"/>
      <name val="Arial"/>
      <family val="2"/>
    </font>
    <font>
      <sz val="11"/>
      <color theme="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CB8B-0262-4A9A-9D43-361BBFB4F39E}">
  <sheetPr codeName="Sheet1"/>
  <dimension ref="A1:I67"/>
  <sheetViews>
    <sheetView tabSelected="1" zoomScale="85" zoomScaleNormal="85" workbookViewId="0">
      <selection activeCell="I44" sqref="I44"/>
    </sheetView>
  </sheetViews>
  <sheetFormatPr defaultRowHeight="14.25" x14ac:dyDescent="0.2"/>
  <cols>
    <col min="1" max="1" width="39" style="2" bestFit="1" customWidth="1"/>
    <col min="2" max="2" width="5.25" style="2" bestFit="1" customWidth="1"/>
    <col min="3" max="3" width="101.875" style="2" bestFit="1" customWidth="1"/>
    <col min="4" max="4" width="54.375" style="2" bestFit="1" customWidth="1"/>
    <col min="5" max="5" width="10.875" style="2" bestFit="1" customWidth="1"/>
    <col min="6" max="6" width="11" style="2" bestFit="1" customWidth="1"/>
    <col min="7" max="7" width="10.5" style="2" bestFit="1" customWidth="1"/>
    <col min="8" max="9" width="11" style="2" bestFit="1" customWidth="1"/>
    <col min="10" max="16384" width="9" style="2"/>
  </cols>
  <sheetData>
    <row r="1" spans="1:9" x14ac:dyDescent="0.2">
      <c r="A1" s="1">
        <v>2025</v>
      </c>
      <c r="B1" s="1" t="s">
        <v>5</v>
      </c>
      <c r="C1" s="1" t="s">
        <v>0</v>
      </c>
      <c r="D1" s="1" t="s">
        <v>1</v>
      </c>
      <c r="E1" s="2" t="s">
        <v>2</v>
      </c>
      <c r="F1" s="2" t="s">
        <v>147</v>
      </c>
      <c r="G1" s="2" t="s">
        <v>148</v>
      </c>
      <c r="H1" s="2" t="s">
        <v>149</v>
      </c>
      <c r="I1" s="2" t="s">
        <v>151</v>
      </c>
    </row>
    <row r="2" spans="1:9" x14ac:dyDescent="0.2">
      <c r="A2" s="1" t="s">
        <v>7</v>
      </c>
      <c r="B2" s="1" t="s">
        <v>3</v>
      </c>
      <c r="C2" s="1" t="s">
        <v>10</v>
      </c>
      <c r="D2" s="1" t="s">
        <v>9</v>
      </c>
      <c r="E2" s="2" t="s">
        <v>12</v>
      </c>
      <c r="F2" s="2">
        <v>50.3</v>
      </c>
      <c r="G2" s="2">
        <v>74.099999999999994</v>
      </c>
      <c r="H2" s="2">
        <v>60</v>
      </c>
      <c r="I2" s="2">
        <f t="shared" ref="I2:I11" si="0">0.5*F2+0.3*G2+0.2*H2</f>
        <v>59.379999999999995</v>
      </c>
    </row>
    <row r="3" spans="1:9" x14ac:dyDescent="0.2">
      <c r="A3" s="1"/>
      <c r="B3" s="1" t="s">
        <v>4</v>
      </c>
      <c r="C3" s="1" t="s">
        <v>33</v>
      </c>
      <c r="D3" s="1" t="s">
        <v>6</v>
      </c>
      <c r="E3" s="2" t="s">
        <v>8</v>
      </c>
      <c r="F3" s="2">
        <v>31.8</v>
      </c>
      <c r="G3" s="2">
        <v>58.5</v>
      </c>
      <c r="H3" s="2">
        <v>20</v>
      </c>
      <c r="I3" s="2">
        <f t="shared" si="0"/>
        <v>37.450000000000003</v>
      </c>
    </row>
    <row r="4" spans="1:9" x14ac:dyDescent="0.2">
      <c r="A4" s="1" t="s">
        <v>13</v>
      </c>
      <c r="B4" s="1" t="s">
        <v>3</v>
      </c>
      <c r="C4" s="1" t="s">
        <v>17</v>
      </c>
      <c r="D4" s="1" t="s">
        <v>14</v>
      </c>
      <c r="E4" s="2" t="s">
        <v>12</v>
      </c>
      <c r="F4" s="2">
        <v>31.8</v>
      </c>
      <c r="G4" s="2">
        <v>42.5</v>
      </c>
      <c r="H4" s="2">
        <v>60</v>
      </c>
      <c r="I4" s="2">
        <f t="shared" si="0"/>
        <v>40.65</v>
      </c>
    </row>
    <row r="5" spans="1:9" x14ac:dyDescent="0.2">
      <c r="A5" s="1"/>
      <c r="B5" s="1" t="s">
        <v>4</v>
      </c>
      <c r="C5" s="1" t="s">
        <v>16</v>
      </c>
      <c r="D5" s="1" t="s">
        <v>15</v>
      </c>
      <c r="E5" s="2" t="s">
        <v>8</v>
      </c>
      <c r="F5" s="2">
        <v>21</v>
      </c>
      <c r="G5" s="2">
        <v>38.200000000000003</v>
      </c>
      <c r="H5" s="2">
        <v>20</v>
      </c>
      <c r="I5" s="2">
        <f t="shared" si="0"/>
        <v>25.96</v>
      </c>
    </row>
    <row r="6" spans="1:9" x14ac:dyDescent="0.2">
      <c r="A6" s="1" t="s">
        <v>22</v>
      </c>
      <c r="B6" s="1" t="s">
        <v>3</v>
      </c>
      <c r="C6" s="1" t="s">
        <v>20</v>
      </c>
      <c r="D6" s="1" t="s">
        <v>21</v>
      </c>
      <c r="E6" s="2" t="s">
        <v>12</v>
      </c>
      <c r="F6" s="2">
        <v>40.6</v>
      </c>
      <c r="G6" s="2">
        <v>37.5</v>
      </c>
      <c r="H6" s="2">
        <v>60</v>
      </c>
      <c r="I6" s="2">
        <f t="shared" si="0"/>
        <v>43.55</v>
      </c>
    </row>
    <row r="7" spans="1:9" x14ac:dyDescent="0.2">
      <c r="A7" s="1"/>
      <c r="B7" s="1" t="s">
        <v>4</v>
      </c>
      <c r="C7" s="1" t="s">
        <v>19</v>
      </c>
      <c r="D7" s="1" t="s">
        <v>18</v>
      </c>
      <c r="E7" s="2" t="s">
        <v>8</v>
      </c>
      <c r="F7" s="2">
        <v>18.2</v>
      </c>
      <c r="G7" s="2">
        <v>22.5</v>
      </c>
      <c r="H7" s="2">
        <v>20</v>
      </c>
      <c r="I7" s="2">
        <f t="shared" si="0"/>
        <v>19.850000000000001</v>
      </c>
    </row>
    <row r="8" spans="1:9" x14ac:dyDescent="0.2">
      <c r="A8" s="1" t="s">
        <v>23</v>
      </c>
      <c r="B8" s="1" t="s">
        <v>3</v>
      </c>
      <c r="C8" s="1" t="s">
        <v>27</v>
      </c>
      <c r="D8" s="1" t="s">
        <v>24</v>
      </c>
      <c r="E8" s="2" t="s">
        <v>8</v>
      </c>
      <c r="F8" s="2">
        <v>19.8</v>
      </c>
      <c r="G8" s="2">
        <v>38.200000000000003</v>
      </c>
      <c r="H8" s="2">
        <v>20</v>
      </c>
      <c r="I8" s="2">
        <f t="shared" si="0"/>
        <v>25.36</v>
      </c>
    </row>
    <row r="9" spans="1:9" x14ac:dyDescent="0.2">
      <c r="A9" s="1"/>
      <c r="B9" s="1" t="s">
        <v>4</v>
      </c>
      <c r="C9" s="1" t="s">
        <v>28</v>
      </c>
      <c r="D9" s="1" t="s">
        <v>25</v>
      </c>
      <c r="E9" s="2" t="s">
        <v>26</v>
      </c>
      <c r="F9" s="2">
        <v>11.5</v>
      </c>
      <c r="G9" s="2">
        <v>30.8</v>
      </c>
      <c r="H9" s="2">
        <v>20</v>
      </c>
      <c r="I9" s="2">
        <f t="shared" si="0"/>
        <v>18.990000000000002</v>
      </c>
    </row>
    <row r="10" spans="1:9" x14ac:dyDescent="0.2">
      <c r="A10" s="1" t="s">
        <v>29</v>
      </c>
      <c r="B10" s="1" t="s">
        <v>3</v>
      </c>
      <c r="C10" s="1" t="s">
        <v>31</v>
      </c>
      <c r="D10" s="1" t="s">
        <v>34</v>
      </c>
      <c r="E10" s="2" t="s">
        <v>32</v>
      </c>
      <c r="F10" s="2">
        <v>50.7</v>
      </c>
      <c r="G10" s="2">
        <v>80.3</v>
      </c>
      <c r="H10" s="2">
        <v>80</v>
      </c>
      <c r="I10" s="2">
        <f t="shared" si="0"/>
        <v>65.44</v>
      </c>
    </row>
    <row r="11" spans="1:9" x14ac:dyDescent="0.2">
      <c r="A11" s="1"/>
      <c r="B11" s="1" t="s">
        <v>4</v>
      </c>
      <c r="C11" s="1" t="s">
        <v>30</v>
      </c>
      <c r="D11" s="1" t="s">
        <v>35</v>
      </c>
      <c r="E11" s="2" t="s">
        <v>12</v>
      </c>
      <c r="F11" s="2">
        <v>31.8</v>
      </c>
      <c r="G11" s="2">
        <v>52.4</v>
      </c>
      <c r="H11" s="2">
        <v>60</v>
      </c>
      <c r="I11" s="2">
        <f t="shared" si="0"/>
        <v>43.62</v>
      </c>
    </row>
    <row r="12" spans="1:9" x14ac:dyDescent="0.2">
      <c r="A12" s="1"/>
      <c r="B12" s="1"/>
      <c r="C12" s="1"/>
      <c r="D12" s="1"/>
    </row>
    <row r="13" spans="1:9" x14ac:dyDescent="0.2">
      <c r="A13" s="1">
        <v>2024</v>
      </c>
      <c r="B13" s="1" t="s">
        <v>5</v>
      </c>
      <c r="C13" s="1" t="s">
        <v>0</v>
      </c>
      <c r="D13" s="1" t="s">
        <v>1</v>
      </c>
      <c r="E13" s="2" t="s">
        <v>2</v>
      </c>
    </row>
    <row r="14" spans="1:9" x14ac:dyDescent="0.2">
      <c r="A14" s="1" t="s">
        <v>36</v>
      </c>
      <c r="B14" s="1" t="s">
        <v>3</v>
      </c>
      <c r="C14" s="1" t="s">
        <v>40</v>
      </c>
      <c r="D14" s="1" t="s">
        <v>40</v>
      </c>
      <c r="E14" s="2" t="s">
        <v>40</v>
      </c>
      <c r="F14" s="2">
        <v>2.2000000000000002</v>
      </c>
      <c r="G14" s="2">
        <v>30</v>
      </c>
      <c r="H14" s="2">
        <v>20</v>
      </c>
      <c r="I14" s="2">
        <f t="shared" ref="I14:I21" si="1">0.5*F14+0.3*G14+0.2*H14</f>
        <v>14.1</v>
      </c>
    </row>
    <row r="15" spans="1:9" x14ac:dyDescent="0.2">
      <c r="A15" s="1"/>
      <c r="B15" s="1" t="s">
        <v>4</v>
      </c>
      <c r="C15" s="1" t="s">
        <v>38</v>
      </c>
      <c r="D15" s="1" t="s">
        <v>37</v>
      </c>
      <c r="E15" s="2" t="s">
        <v>39</v>
      </c>
      <c r="F15" s="2">
        <v>2.2000000000000002</v>
      </c>
      <c r="G15" s="2">
        <v>30</v>
      </c>
      <c r="H15" s="2">
        <v>20</v>
      </c>
      <c r="I15" s="2">
        <f t="shared" si="1"/>
        <v>14.1</v>
      </c>
    </row>
    <row r="16" spans="1:9" x14ac:dyDescent="0.2">
      <c r="A16" s="1" t="s">
        <v>41</v>
      </c>
      <c r="B16" s="1" t="s">
        <v>3</v>
      </c>
      <c r="C16" s="1" t="s">
        <v>45</v>
      </c>
      <c r="D16" s="1" t="s">
        <v>44</v>
      </c>
      <c r="E16" s="2" t="s">
        <v>11</v>
      </c>
      <c r="F16" s="2">
        <v>40.6</v>
      </c>
      <c r="G16" s="2">
        <v>61.8</v>
      </c>
      <c r="H16" s="2">
        <v>60</v>
      </c>
      <c r="I16" s="2">
        <f t="shared" si="1"/>
        <v>50.84</v>
      </c>
    </row>
    <row r="17" spans="1:9" x14ac:dyDescent="0.2">
      <c r="A17" s="1"/>
      <c r="B17" s="1" t="s">
        <v>4</v>
      </c>
      <c r="C17" s="1" t="s">
        <v>43</v>
      </c>
      <c r="D17" s="1" t="s">
        <v>42</v>
      </c>
      <c r="E17" s="2" t="s">
        <v>11</v>
      </c>
      <c r="F17" s="2">
        <v>31.8</v>
      </c>
      <c r="G17" s="2">
        <v>52.4</v>
      </c>
      <c r="H17" s="2">
        <v>60</v>
      </c>
      <c r="I17" s="2">
        <f t="shared" si="1"/>
        <v>43.62</v>
      </c>
    </row>
    <row r="18" spans="1:9" x14ac:dyDescent="0.2">
      <c r="A18" s="1" t="s">
        <v>46</v>
      </c>
      <c r="B18" s="1" t="s">
        <v>3</v>
      </c>
      <c r="C18" s="1" t="s">
        <v>52</v>
      </c>
      <c r="D18" s="1" t="s">
        <v>50</v>
      </c>
      <c r="E18" s="2" t="s">
        <v>11</v>
      </c>
      <c r="F18" s="2">
        <v>35.4</v>
      </c>
      <c r="G18" s="2">
        <v>58.5</v>
      </c>
      <c r="H18" s="2">
        <v>60</v>
      </c>
      <c r="I18" s="2">
        <f t="shared" si="1"/>
        <v>47.25</v>
      </c>
    </row>
    <row r="19" spans="1:9" x14ac:dyDescent="0.2">
      <c r="A19" s="1"/>
      <c r="B19" s="1" t="s">
        <v>4</v>
      </c>
      <c r="C19" s="1" t="s">
        <v>48</v>
      </c>
      <c r="D19" s="1" t="s">
        <v>49</v>
      </c>
      <c r="E19" s="2" t="s">
        <v>47</v>
      </c>
      <c r="F19" s="2">
        <v>28.6</v>
      </c>
      <c r="G19" s="2">
        <v>52.4</v>
      </c>
      <c r="H19" s="2">
        <v>60</v>
      </c>
      <c r="I19" s="2">
        <f t="shared" si="1"/>
        <v>42.019999999999996</v>
      </c>
    </row>
    <row r="20" spans="1:9" x14ac:dyDescent="0.2">
      <c r="A20" s="1" t="s">
        <v>53</v>
      </c>
      <c r="B20" s="1" t="s">
        <v>3</v>
      </c>
      <c r="C20" s="1" t="s">
        <v>57</v>
      </c>
      <c r="D20" s="1" t="s">
        <v>55</v>
      </c>
      <c r="E20" s="2" t="s">
        <v>8</v>
      </c>
      <c r="F20" s="2">
        <v>27</v>
      </c>
      <c r="G20" s="2">
        <v>44.2</v>
      </c>
      <c r="H20" s="2">
        <v>20</v>
      </c>
      <c r="I20" s="2">
        <f t="shared" si="1"/>
        <v>30.759999999999998</v>
      </c>
    </row>
    <row r="21" spans="1:9" x14ac:dyDescent="0.2">
      <c r="A21" s="1"/>
      <c r="B21" s="1" t="s">
        <v>4</v>
      </c>
      <c r="C21" s="1" t="s">
        <v>56</v>
      </c>
      <c r="D21" s="1" t="s">
        <v>54</v>
      </c>
      <c r="E21" s="2" t="s">
        <v>58</v>
      </c>
      <c r="F21" s="2">
        <v>15.8</v>
      </c>
      <c r="G21" s="2">
        <v>38.200000000000003</v>
      </c>
      <c r="H21" s="2">
        <v>20</v>
      </c>
      <c r="I21" s="2">
        <f t="shared" si="1"/>
        <v>23.36</v>
      </c>
    </row>
    <row r="22" spans="1:9" x14ac:dyDescent="0.2">
      <c r="A22" s="1"/>
      <c r="B22" s="1"/>
      <c r="C22" s="1"/>
      <c r="D22" s="1"/>
    </row>
    <row r="23" spans="1:9" x14ac:dyDescent="0.2">
      <c r="A23" s="1">
        <v>2023</v>
      </c>
      <c r="B23" s="1" t="s">
        <v>5</v>
      </c>
      <c r="C23" s="1" t="s">
        <v>0</v>
      </c>
      <c r="D23" s="1" t="s">
        <v>1</v>
      </c>
      <c r="E23" s="2" t="s">
        <v>2</v>
      </c>
    </row>
    <row r="24" spans="1:9" x14ac:dyDescent="0.2">
      <c r="A24" s="1" t="s">
        <v>59</v>
      </c>
      <c r="B24" s="1" t="s">
        <v>3</v>
      </c>
      <c r="C24" s="1" t="s">
        <v>63</v>
      </c>
      <c r="D24" s="1" t="s">
        <v>61</v>
      </c>
      <c r="E24" s="2" t="s">
        <v>11</v>
      </c>
      <c r="F24" s="2">
        <v>41.8</v>
      </c>
      <c r="G24" s="2">
        <v>58.5</v>
      </c>
      <c r="H24" s="2">
        <v>60</v>
      </c>
      <c r="I24" s="2">
        <f t="shared" ref="I24:I31" si="2">0.5*F24+0.3*G24+0.2*H24</f>
        <v>50.45</v>
      </c>
    </row>
    <row r="25" spans="1:9" x14ac:dyDescent="0.2">
      <c r="A25" s="1"/>
      <c r="B25" s="1" t="s">
        <v>4</v>
      </c>
      <c r="C25" s="1" t="s">
        <v>62</v>
      </c>
      <c r="D25" s="1" t="s">
        <v>60</v>
      </c>
      <c r="E25" s="2" t="s">
        <v>8</v>
      </c>
      <c r="F25" s="2">
        <v>27</v>
      </c>
      <c r="G25" s="2">
        <v>40.799999999999997</v>
      </c>
      <c r="H25" s="2">
        <v>20</v>
      </c>
      <c r="I25" s="2">
        <f t="shared" si="2"/>
        <v>29.74</v>
      </c>
    </row>
    <row r="26" spans="1:9" x14ac:dyDescent="0.2">
      <c r="A26" s="1" t="s">
        <v>64</v>
      </c>
      <c r="B26" s="1" t="s">
        <v>3</v>
      </c>
      <c r="C26" s="1" t="s">
        <v>68</v>
      </c>
      <c r="D26" s="1" t="s">
        <v>66</v>
      </c>
      <c r="E26" s="2" t="s">
        <v>11</v>
      </c>
      <c r="F26" s="2">
        <v>43.4</v>
      </c>
      <c r="G26" s="2">
        <v>60.4</v>
      </c>
      <c r="H26" s="2">
        <v>60</v>
      </c>
      <c r="I26" s="2">
        <f t="shared" si="2"/>
        <v>51.819999999999993</v>
      </c>
    </row>
    <row r="27" spans="1:9" x14ac:dyDescent="0.2">
      <c r="A27" s="1"/>
      <c r="B27" s="1" t="s">
        <v>4</v>
      </c>
      <c r="C27" s="1" t="s">
        <v>67</v>
      </c>
      <c r="D27" s="1" t="s">
        <v>65</v>
      </c>
      <c r="E27" s="2" t="s">
        <v>11</v>
      </c>
      <c r="F27" s="2">
        <v>26.2</v>
      </c>
      <c r="G27" s="2">
        <v>57.4</v>
      </c>
      <c r="H27" s="2">
        <v>60</v>
      </c>
      <c r="I27" s="2">
        <f t="shared" si="2"/>
        <v>42.32</v>
      </c>
    </row>
    <row r="28" spans="1:9" x14ac:dyDescent="0.2">
      <c r="A28" s="1" t="s">
        <v>69</v>
      </c>
      <c r="B28" s="1" t="s">
        <v>3</v>
      </c>
      <c r="C28" s="1" t="s">
        <v>71</v>
      </c>
      <c r="D28" s="1" t="s">
        <v>73</v>
      </c>
      <c r="E28" s="2" t="s">
        <v>8</v>
      </c>
      <c r="F28" s="2">
        <v>43.8</v>
      </c>
      <c r="G28" s="2">
        <v>55.8</v>
      </c>
      <c r="H28" s="2">
        <v>20</v>
      </c>
      <c r="I28" s="2">
        <f t="shared" si="2"/>
        <v>42.64</v>
      </c>
    </row>
    <row r="29" spans="1:9" x14ac:dyDescent="0.2">
      <c r="A29" s="1"/>
      <c r="B29" s="1" t="s">
        <v>4</v>
      </c>
      <c r="C29" s="1" t="s">
        <v>70</v>
      </c>
      <c r="D29" s="1" t="s">
        <v>72</v>
      </c>
      <c r="E29" s="2" t="s">
        <v>11</v>
      </c>
      <c r="F29" s="2">
        <v>23.8</v>
      </c>
      <c r="G29" s="2">
        <v>41.5</v>
      </c>
      <c r="H29" s="2">
        <v>60</v>
      </c>
      <c r="I29" s="2">
        <f t="shared" si="2"/>
        <v>36.35</v>
      </c>
    </row>
    <row r="30" spans="1:9" x14ac:dyDescent="0.2">
      <c r="A30" s="1" t="s">
        <v>75</v>
      </c>
      <c r="B30" s="1" t="s">
        <v>3</v>
      </c>
      <c r="C30" s="3" t="s">
        <v>78</v>
      </c>
      <c r="D30" s="3" t="s">
        <v>77</v>
      </c>
      <c r="E30" s="2" t="s">
        <v>11</v>
      </c>
      <c r="F30" s="2">
        <v>43.4</v>
      </c>
      <c r="G30" s="2">
        <v>70.8</v>
      </c>
      <c r="H30" s="2">
        <v>60</v>
      </c>
      <c r="I30" s="2">
        <f t="shared" si="2"/>
        <v>54.94</v>
      </c>
    </row>
    <row r="31" spans="1:9" x14ac:dyDescent="0.2">
      <c r="A31" s="1"/>
      <c r="B31" s="1" t="s">
        <v>4</v>
      </c>
      <c r="C31" s="1" t="s">
        <v>76</v>
      </c>
      <c r="D31" s="1" t="s">
        <v>74</v>
      </c>
      <c r="E31" s="2" t="s">
        <v>11</v>
      </c>
      <c r="F31" s="2">
        <v>40.6</v>
      </c>
      <c r="G31" s="2">
        <v>46.5</v>
      </c>
      <c r="H31" s="2">
        <v>60</v>
      </c>
      <c r="I31" s="2">
        <f t="shared" si="2"/>
        <v>46.25</v>
      </c>
    </row>
    <row r="32" spans="1:9" x14ac:dyDescent="0.2">
      <c r="A32" s="1"/>
      <c r="B32" s="1"/>
      <c r="C32" s="3"/>
      <c r="D32" s="1"/>
    </row>
    <row r="33" spans="1:9" x14ac:dyDescent="0.2">
      <c r="A33" s="1">
        <v>2022</v>
      </c>
      <c r="B33" s="1" t="s">
        <v>5</v>
      </c>
      <c r="C33" s="1" t="s">
        <v>0</v>
      </c>
      <c r="D33" s="1" t="s">
        <v>1</v>
      </c>
      <c r="E33" s="2" t="s">
        <v>2</v>
      </c>
    </row>
    <row r="34" spans="1:9" x14ac:dyDescent="0.2">
      <c r="A34" s="1" t="s">
        <v>79</v>
      </c>
      <c r="B34" s="1" t="s">
        <v>3</v>
      </c>
      <c r="C34" s="1" t="s">
        <v>51</v>
      </c>
      <c r="D34" s="1" t="s">
        <v>50</v>
      </c>
      <c r="E34" s="2" t="s">
        <v>11</v>
      </c>
      <c r="F34" s="2">
        <v>35.4</v>
      </c>
      <c r="G34" s="2">
        <v>58.5</v>
      </c>
      <c r="H34" s="2">
        <v>60</v>
      </c>
      <c r="I34" s="2">
        <f t="shared" ref="I34:I43" si="3">0.5*F34+0.3*G34+0.2*H34</f>
        <v>47.25</v>
      </c>
    </row>
    <row r="35" spans="1:9" x14ac:dyDescent="0.2">
      <c r="A35" s="1"/>
      <c r="B35" s="1" t="s">
        <v>4</v>
      </c>
      <c r="C35" s="1" t="s">
        <v>48</v>
      </c>
      <c r="D35" s="1" t="s">
        <v>49</v>
      </c>
      <c r="E35" s="2" t="s">
        <v>47</v>
      </c>
      <c r="F35" s="2">
        <v>28.6</v>
      </c>
      <c r="G35" s="2">
        <v>52.4</v>
      </c>
      <c r="H35" s="2">
        <v>60</v>
      </c>
      <c r="I35" s="2">
        <f t="shared" si="3"/>
        <v>42.019999999999996</v>
      </c>
    </row>
    <row r="36" spans="1:9" x14ac:dyDescent="0.2">
      <c r="A36" s="1" t="s">
        <v>80</v>
      </c>
      <c r="B36" s="1" t="s">
        <v>3</v>
      </c>
      <c r="C36" s="1" t="s">
        <v>84</v>
      </c>
      <c r="D36" s="1" t="s">
        <v>82</v>
      </c>
      <c r="E36" s="2" t="s">
        <v>11</v>
      </c>
      <c r="F36" s="2">
        <v>53.3</v>
      </c>
      <c r="G36" s="2">
        <v>58.5</v>
      </c>
      <c r="H36" s="2">
        <v>60</v>
      </c>
      <c r="I36" s="2">
        <f t="shared" si="3"/>
        <v>56.2</v>
      </c>
    </row>
    <row r="37" spans="1:9" x14ac:dyDescent="0.2">
      <c r="A37" s="1"/>
      <c r="B37" s="1" t="s">
        <v>4</v>
      </c>
      <c r="C37" s="1" t="s">
        <v>83</v>
      </c>
      <c r="D37" s="1" t="s">
        <v>81</v>
      </c>
      <c r="E37" s="2" t="s">
        <v>11</v>
      </c>
      <c r="F37" s="2">
        <v>27</v>
      </c>
      <c r="G37" s="2">
        <v>42.5</v>
      </c>
      <c r="H37" s="2">
        <v>60</v>
      </c>
      <c r="I37" s="2">
        <f t="shared" si="3"/>
        <v>38.25</v>
      </c>
    </row>
    <row r="38" spans="1:9" x14ac:dyDescent="0.2">
      <c r="A38" s="1" t="s">
        <v>85</v>
      </c>
      <c r="B38" s="1" t="s">
        <v>3</v>
      </c>
      <c r="C38" s="1" t="s">
        <v>89</v>
      </c>
      <c r="D38" s="1" t="s">
        <v>87</v>
      </c>
      <c r="E38" s="2" t="s">
        <v>12</v>
      </c>
      <c r="F38" s="2">
        <v>41.8</v>
      </c>
      <c r="G38" s="2">
        <v>54.2</v>
      </c>
      <c r="H38" s="2">
        <v>60</v>
      </c>
      <c r="I38" s="2">
        <f t="shared" si="3"/>
        <v>49.16</v>
      </c>
    </row>
    <row r="39" spans="1:9" x14ac:dyDescent="0.2">
      <c r="A39" s="1"/>
      <c r="B39" s="1" t="s">
        <v>4</v>
      </c>
      <c r="C39" s="1" t="s">
        <v>88</v>
      </c>
      <c r="D39" s="1" t="s">
        <v>86</v>
      </c>
      <c r="E39" s="2" t="s">
        <v>8</v>
      </c>
      <c r="F39" s="2">
        <v>41.8</v>
      </c>
      <c r="G39" s="2">
        <v>41.2</v>
      </c>
      <c r="H39" s="2">
        <v>20</v>
      </c>
      <c r="I39" s="2">
        <f t="shared" si="3"/>
        <v>37.26</v>
      </c>
    </row>
    <row r="40" spans="1:9" x14ac:dyDescent="0.2">
      <c r="A40" s="1" t="s">
        <v>90</v>
      </c>
      <c r="B40" s="1" t="s">
        <v>3</v>
      </c>
      <c r="C40" s="1" t="s">
        <v>68</v>
      </c>
      <c r="D40" s="1" t="s">
        <v>92</v>
      </c>
      <c r="E40" s="2" t="s">
        <v>11</v>
      </c>
      <c r="F40" s="2">
        <v>43.4</v>
      </c>
      <c r="G40" s="2">
        <v>60.4</v>
      </c>
      <c r="H40" s="2">
        <v>60</v>
      </c>
      <c r="I40" s="2">
        <f t="shared" si="3"/>
        <v>51.819999999999993</v>
      </c>
    </row>
    <row r="41" spans="1:9" x14ac:dyDescent="0.2">
      <c r="A41" s="1"/>
      <c r="B41" s="1" t="s">
        <v>4</v>
      </c>
      <c r="C41" s="1" t="s">
        <v>93</v>
      </c>
      <c r="D41" s="1" t="s">
        <v>91</v>
      </c>
      <c r="E41" s="2" t="s">
        <v>11</v>
      </c>
      <c r="F41" s="2">
        <v>26.2</v>
      </c>
      <c r="G41" s="2">
        <v>48.5</v>
      </c>
      <c r="H41" s="2">
        <v>60</v>
      </c>
      <c r="I41" s="2">
        <f t="shared" si="3"/>
        <v>39.65</v>
      </c>
    </row>
    <row r="42" spans="1:9" x14ac:dyDescent="0.2">
      <c r="A42" s="1" t="s">
        <v>94</v>
      </c>
      <c r="B42" s="1" t="s">
        <v>3</v>
      </c>
      <c r="C42" s="1" t="s">
        <v>98</v>
      </c>
      <c r="D42" s="1" t="s">
        <v>96</v>
      </c>
      <c r="E42" s="2" t="s">
        <v>8</v>
      </c>
      <c r="F42" s="2">
        <v>22.6</v>
      </c>
      <c r="G42" s="2">
        <v>52.4</v>
      </c>
      <c r="H42" s="2">
        <v>20</v>
      </c>
      <c r="I42" s="2">
        <f t="shared" si="3"/>
        <v>31.02</v>
      </c>
    </row>
    <row r="43" spans="1:9" x14ac:dyDescent="0.2">
      <c r="A43" s="1"/>
      <c r="B43" s="1" t="s">
        <v>4</v>
      </c>
      <c r="C43" s="1" t="s">
        <v>97</v>
      </c>
      <c r="D43" s="1" t="s">
        <v>95</v>
      </c>
      <c r="E43" s="2" t="s">
        <v>8</v>
      </c>
      <c r="F43" s="2">
        <v>13.8</v>
      </c>
      <c r="G43" s="2">
        <v>33.5</v>
      </c>
      <c r="H43" s="2">
        <v>20</v>
      </c>
      <c r="I43" s="2">
        <f t="shared" si="3"/>
        <v>20.95</v>
      </c>
    </row>
    <row r="44" spans="1:9" x14ac:dyDescent="0.2">
      <c r="A44" s="1"/>
      <c r="B44" s="1"/>
      <c r="C44" s="1"/>
      <c r="D44" s="1"/>
    </row>
    <row r="45" spans="1:9" x14ac:dyDescent="0.2">
      <c r="A45" s="1">
        <v>2021</v>
      </c>
      <c r="B45" s="1" t="s">
        <v>5</v>
      </c>
      <c r="C45" s="1" t="s">
        <v>0</v>
      </c>
      <c r="D45" s="1" t="s">
        <v>1</v>
      </c>
      <c r="E45" s="2" t="s">
        <v>2</v>
      </c>
    </row>
    <row r="46" spans="1:9" x14ac:dyDescent="0.2">
      <c r="A46" s="1" t="s">
        <v>99</v>
      </c>
      <c r="B46" s="1" t="s">
        <v>3</v>
      </c>
      <c r="C46" s="1" t="s">
        <v>103</v>
      </c>
      <c r="D46" s="1" t="s">
        <v>101</v>
      </c>
      <c r="E46" s="2" t="s">
        <v>11</v>
      </c>
      <c r="F46" s="2">
        <v>40.6</v>
      </c>
      <c r="G46" s="2">
        <v>61.8</v>
      </c>
      <c r="H46" s="2">
        <v>60</v>
      </c>
      <c r="I46" s="2">
        <f t="shared" ref="I46:I55" si="4">0.5*F46+0.3*G46+0.2*H46</f>
        <v>50.84</v>
      </c>
    </row>
    <row r="47" spans="1:9" x14ac:dyDescent="0.2">
      <c r="A47" s="1"/>
      <c r="B47" s="1" t="s">
        <v>4</v>
      </c>
      <c r="C47" s="1" t="s">
        <v>102</v>
      </c>
      <c r="D47" s="1" t="s">
        <v>100</v>
      </c>
      <c r="E47" s="2" t="s">
        <v>47</v>
      </c>
      <c r="F47" s="2">
        <v>31.8</v>
      </c>
      <c r="G47" s="2">
        <v>52.4</v>
      </c>
      <c r="H47" s="2">
        <v>60</v>
      </c>
      <c r="I47" s="2">
        <f t="shared" si="4"/>
        <v>43.62</v>
      </c>
    </row>
    <row r="48" spans="1:9" x14ac:dyDescent="0.2">
      <c r="A48" s="1" t="s">
        <v>104</v>
      </c>
      <c r="B48" s="1" t="s">
        <v>3</v>
      </c>
      <c r="C48" s="1" t="s">
        <v>108</v>
      </c>
      <c r="D48" s="1" t="s">
        <v>106</v>
      </c>
      <c r="E48" s="2" t="s">
        <v>11</v>
      </c>
      <c r="F48" s="2">
        <v>30.2</v>
      </c>
      <c r="G48" s="2">
        <v>39.5</v>
      </c>
      <c r="H48" s="2">
        <v>60</v>
      </c>
      <c r="I48" s="2">
        <f t="shared" si="4"/>
        <v>38.950000000000003</v>
      </c>
    </row>
    <row r="49" spans="1:9" x14ac:dyDescent="0.2">
      <c r="A49" s="1"/>
      <c r="B49" s="1" t="s">
        <v>4</v>
      </c>
      <c r="C49" s="1" t="s">
        <v>107</v>
      </c>
      <c r="D49" s="1" t="s">
        <v>105</v>
      </c>
      <c r="E49" s="2" t="s">
        <v>8</v>
      </c>
      <c r="F49" s="2">
        <v>14.6</v>
      </c>
      <c r="G49" s="2">
        <v>25.8</v>
      </c>
      <c r="H49" s="2">
        <v>20</v>
      </c>
      <c r="I49" s="2">
        <f t="shared" si="4"/>
        <v>19.04</v>
      </c>
    </row>
    <row r="50" spans="1:9" x14ac:dyDescent="0.2">
      <c r="A50" s="1" t="s">
        <v>109</v>
      </c>
      <c r="B50" s="1" t="s">
        <v>3</v>
      </c>
      <c r="C50" s="1" t="s">
        <v>113</v>
      </c>
      <c r="D50" s="1" t="s">
        <v>111</v>
      </c>
      <c r="E50" s="2" t="s">
        <v>8</v>
      </c>
      <c r="F50" s="2">
        <v>31.8</v>
      </c>
      <c r="G50" s="2">
        <v>49.8</v>
      </c>
      <c r="H50" s="2">
        <v>20</v>
      </c>
      <c r="I50" s="2">
        <f t="shared" si="4"/>
        <v>34.839999999999996</v>
      </c>
    </row>
    <row r="51" spans="1:9" x14ac:dyDescent="0.2">
      <c r="A51" s="1"/>
      <c r="B51" s="1" t="s">
        <v>4</v>
      </c>
      <c r="C51" s="1" t="s">
        <v>112</v>
      </c>
      <c r="D51" s="1" t="s">
        <v>110</v>
      </c>
      <c r="E51" s="2" t="s">
        <v>8</v>
      </c>
      <c r="F51" s="2">
        <v>19.8</v>
      </c>
      <c r="G51" s="2">
        <v>28.2</v>
      </c>
      <c r="H51" s="2">
        <v>20</v>
      </c>
      <c r="I51" s="2">
        <f t="shared" si="4"/>
        <v>22.36</v>
      </c>
    </row>
    <row r="52" spans="1:9" x14ac:dyDescent="0.2">
      <c r="A52" s="1" t="s">
        <v>114</v>
      </c>
      <c r="B52" s="1" t="s">
        <v>3</v>
      </c>
      <c r="C52" s="1" t="s">
        <v>118</v>
      </c>
      <c r="D52" s="1" t="s">
        <v>116</v>
      </c>
      <c r="E52" s="2" t="s">
        <v>11</v>
      </c>
      <c r="F52" s="2">
        <v>40.6</v>
      </c>
      <c r="G52" s="2">
        <v>60.4</v>
      </c>
      <c r="H52" s="2">
        <v>60</v>
      </c>
      <c r="I52" s="2">
        <f t="shared" si="4"/>
        <v>50.42</v>
      </c>
    </row>
    <row r="53" spans="1:9" x14ac:dyDescent="0.2">
      <c r="A53" s="1"/>
      <c r="B53" s="1" t="s">
        <v>4</v>
      </c>
      <c r="C53" s="1" t="s">
        <v>117</v>
      </c>
      <c r="D53" s="1" t="s">
        <v>115</v>
      </c>
      <c r="E53" s="2" t="s">
        <v>8</v>
      </c>
      <c r="F53" s="2">
        <v>20.6</v>
      </c>
      <c r="G53" s="2">
        <v>57.4</v>
      </c>
      <c r="H53" s="2">
        <v>20</v>
      </c>
      <c r="I53" s="2">
        <f t="shared" si="4"/>
        <v>31.52</v>
      </c>
    </row>
    <row r="54" spans="1:9" x14ac:dyDescent="0.2">
      <c r="A54" s="1" t="s">
        <v>119</v>
      </c>
      <c r="B54" s="1" t="s">
        <v>3</v>
      </c>
      <c r="C54" s="1" t="s">
        <v>123</v>
      </c>
      <c r="D54" s="1" t="s">
        <v>121</v>
      </c>
      <c r="E54" s="2" t="s">
        <v>11</v>
      </c>
      <c r="F54" s="2">
        <v>43.8</v>
      </c>
      <c r="G54" s="2">
        <v>60.4</v>
      </c>
      <c r="H54" s="2">
        <v>60</v>
      </c>
      <c r="I54" s="2">
        <f t="shared" si="4"/>
        <v>52.019999999999996</v>
      </c>
    </row>
    <row r="55" spans="1:9" x14ac:dyDescent="0.2">
      <c r="A55" s="1"/>
      <c r="B55" s="1" t="s">
        <v>4</v>
      </c>
      <c r="C55" s="1" t="s">
        <v>122</v>
      </c>
      <c r="D55" s="1" t="s">
        <v>120</v>
      </c>
      <c r="E55" s="2" t="s">
        <v>8</v>
      </c>
      <c r="F55" s="2">
        <v>23.8</v>
      </c>
      <c r="G55" s="2">
        <v>45.6</v>
      </c>
      <c r="H55" s="2">
        <v>20</v>
      </c>
      <c r="I55" s="2">
        <f t="shared" si="4"/>
        <v>29.58</v>
      </c>
    </row>
    <row r="56" spans="1:9" x14ac:dyDescent="0.2">
      <c r="A56" s="1"/>
      <c r="B56" s="1"/>
      <c r="C56" s="1"/>
      <c r="D56" s="1"/>
    </row>
    <row r="57" spans="1:9" x14ac:dyDescent="0.2">
      <c r="A57" s="1">
        <v>2020</v>
      </c>
      <c r="B57" s="1" t="s">
        <v>5</v>
      </c>
      <c r="C57" s="1" t="s">
        <v>0</v>
      </c>
      <c r="D57" s="1" t="s">
        <v>1</v>
      </c>
      <c r="E57" s="2" t="s">
        <v>2</v>
      </c>
    </row>
    <row r="58" spans="1:9" x14ac:dyDescent="0.2">
      <c r="A58" s="1" t="s">
        <v>125</v>
      </c>
      <c r="B58" s="1" t="s">
        <v>3</v>
      </c>
      <c r="C58" s="1" t="s">
        <v>126</v>
      </c>
      <c r="D58" s="1" t="s">
        <v>124</v>
      </c>
      <c r="E58" s="2" t="s">
        <v>11</v>
      </c>
      <c r="F58" s="2">
        <v>40.6</v>
      </c>
      <c r="G58" s="2">
        <v>48.2</v>
      </c>
      <c r="H58" s="2">
        <v>60</v>
      </c>
      <c r="I58" s="2">
        <f t="shared" ref="I58:I67" si="5">0.5*F58+0.3*G58+0.2*H58</f>
        <v>46.760000000000005</v>
      </c>
    </row>
    <row r="59" spans="1:9" x14ac:dyDescent="0.2">
      <c r="A59" s="1"/>
      <c r="B59" s="1" t="s">
        <v>4</v>
      </c>
      <c r="C59" s="1" t="s">
        <v>128</v>
      </c>
      <c r="D59" s="1" t="s">
        <v>127</v>
      </c>
      <c r="E59" s="2" t="s">
        <v>8</v>
      </c>
      <c r="F59" s="2">
        <v>31.8</v>
      </c>
      <c r="G59" s="2">
        <v>42.5</v>
      </c>
      <c r="H59" s="2">
        <v>20</v>
      </c>
      <c r="I59" s="2">
        <f t="shared" si="5"/>
        <v>32.65</v>
      </c>
    </row>
    <row r="60" spans="1:9" x14ac:dyDescent="0.2">
      <c r="A60" s="1" t="s">
        <v>150</v>
      </c>
      <c r="B60" s="1" t="s">
        <v>3</v>
      </c>
      <c r="C60" s="1" t="s">
        <v>132</v>
      </c>
      <c r="D60" s="1" t="s">
        <v>130</v>
      </c>
      <c r="E60" s="2" t="s">
        <v>47</v>
      </c>
      <c r="F60" s="2">
        <v>37.799999999999997</v>
      </c>
      <c r="G60" s="2">
        <v>57.4</v>
      </c>
      <c r="H60" s="2">
        <v>60</v>
      </c>
      <c r="I60" s="2">
        <f t="shared" si="5"/>
        <v>48.12</v>
      </c>
    </row>
    <row r="61" spans="1:9" x14ac:dyDescent="0.2">
      <c r="A61" s="1"/>
      <c r="B61" s="1" t="s">
        <v>4</v>
      </c>
      <c r="C61" s="1" t="s">
        <v>131</v>
      </c>
      <c r="D61" s="1" t="s">
        <v>129</v>
      </c>
      <c r="E61" s="2" t="s">
        <v>8</v>
      </c>
      <c r="F61" s="2">
        <v>22.6</v>
      </c>
      <c r="G61" s="2">
        <v>34.200000000000003</v>
      </c>
      <c r="H61" s="2">
        <v>20</v>
      </c>
      <c r="I61" s="2">
        <f t="shared" si="5"/>
        <v>25.560000000000002</v>
      </c>
    </row>
    <row r="62" spans="1:9" x14ac:dyDescent="0.2">
      <c r="A62" s="1" t="s">
        <v>134</v>
      </c>
      <c r="B62" s="1" t="s">
        <v>3</v>
      </c>
      <c r="C62" s="1" t="s">
        <v>136</v>
      </c>
      <c r="D62" s="1" t="s">
        <v>92</v>
      </c>
      <c r="E62" s="2" t="s">
        <v>11</v>
      </c>
      <c r="F62" s="2">
        <v>40.6</v>
      </c>
      <c r="G62" s="2">
        <v>54.2</v>
      </c>
      <c r="H62" s="2">
        <v>60</v>
      </c>
      <c r="I62" s="2">
        <f t="shared" si="5"/>
        <v>48.56</v>
      </c>
    </row>
    <row r="63" spans="1:9" x14ac:dyDescent="0.2">
      <c r="A63" s="1"/>
      <c r="B63" s="1" t="s">
        <v>4</v>
      </c>
      <c r="C63" s="1" t="s">
        <v>135</v>
      </c>
      <c r="D63" s="1" t="s">
        <v>133</v>
      </c>
      <c r="E63" s="2" t="s">
        <v>8</v>
      </c>
      <c r="F63" s="2">
        <v>20.6</v>
      </c>
      <c r="G63" s="2">
        <v>38.5</v>
      </c>
      <c r="H63" s="2">
        <v>20</v>
      </c>
      <c r="I63" s="2">
        <f t="shared" si="5"/>
        <v>25.85</v>
      </c>
    </row>
    <row r="64" spans="1:9" x14ac:dyDescent="0.2">
      <c r="A64" s="1" t="s">
        <v>137</v>
      </c>
      <c r="B64" s="1" t="s">
        <v>3</v>
      </c>
      <c r="C64" s="1" t="s">
        <v>141</v>
      </c>
      <c r="D64" s="1" t="s">
        <v>139</v>
      </c>
      <c r="E64" s="2" t="s">
        <v>8</v>
      </c>
      <c r="F64" s="2">
        <v>14</v>
      </c>
      <c r="G64" s="2">
        <v>30</v>
      </c>
      <c r="H64" s="2">
        <v>20</v>
      </c>
      <c r="I64" s="2">
        <f t="shared" si="5"/>
        <v>20</v>
      </c>
    </row>
    <row r="65" spans="1:9" x14ac:dyDescent="0.2">
      <c r="A65" s="1"/>
      <c r="B65" s="1" t="s">
        <v>4</v>
      </c>
      <c r="C65" s="1" t="s">
        <v>140</v>
      </c>
      <c r="D65" s="1" t="s">
        <v>138</v>
      </c>
      <c r="E65" s="2" t="s">
        <v>26</v>
      </c>
      <c r="F65" s="2">
        <v>6.5</v>
      </c>
      <c r="G65" s="2">
        <v>22.5</v>
      </c>
      <c r="H65" s="2">
        <v>20</v>
      </c>
      <c r="I65" s="2">
        <f t="shared" si="5"/>
        <v>14</v>
      </c>
    </row>
    <row r="66" spans="1:9" x14ac:dyDescent="0.2">
      <c r="A66" s="1" t="s">
        <v>144</v>
      </c>
      <c r="B66" s="1" t="s">
        <v>3</v>
      </c>
      <c r="C66" s="1" t="s">
        <v>146</v>
      </c>
      <c r="D66" s="1" t="s">
        <v>143</v>
      </c>
      <c r="E66" s="2" t="s">
        <v>11</v>
      </c>
      <c r="F66" s="2">
        <v>43.4</v>
      </c>
      <c r="G66" s="2">
        <v>60.4</v>
      </c>
      <c r="H66" s="2">
        <v>60</v>
      </c>
      <c r="I66" s="2">
        <f t="shared" si="5"/>
        <v>51.819999999999993</v>
      </c>
    </row>
    <row r="67" spans="1:9" x14ac:dyDescent="0.2">
      <c r="A67" s="1"/>
      <c r="B67" s="1" t="s">
        <v>4</v>
      </c>
      <c r="C67" s="1" t="s">
        <v>145</v>
      </c>
      <c r="D67" s="1" t="s">
        <v>142</v>
      </c>
      <c r="E67" s="2" t="s">
        <v>11</v>
      </c>
      <c r="F67" s="2">
        <v>26.2</v>
      </c>
      <c r="G67" s="2">
        <v>48.5</v>
      </c>
      <c r="H67" s="2">
        <v>60</v>
      </c>
      <c r="I67" s="2">
        <f t="shared" si="5"/>
        <v>39.65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一语 一言</cp:lastModifiedBy>
  <dcterms:created xsi:type="dcterms:W3CDTF">2025-12-07T10:41:04Z</dcterms:created>
  <dcterms:modified xsi:type="dcterms:W3CDTF">2025-12-08T01:09:59Z</dcterms:modified>
</cp:coreProperties>
</file>